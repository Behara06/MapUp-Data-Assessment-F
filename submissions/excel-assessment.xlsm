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B chaitanaya\Downloads\"/>
    </mc:Choice>
  </mc:AlternateContent>
  <bookViews>
    <workbookView xWindow="0" yWindow="0" windowWidth="20490" windowHeight="7755" tabRatio="849" activeTab="5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9" l="1"/>
  <c r="D14" i="19"/>
  <c r="D15" i="19"/>
  <c r="D16" i="19"/>
  <c r="D17" i="19"/>
  <c r="D18" i="19"/>
  <c r="D19" i="19"/>
  <c r="D20" i="19"/>
  <c r="D21" i="19"/>
  <c r="D13" i="19"/>
  <c r="D12" i="19"/>
  <c r="C30" i="18" l="1"/>
  <c r="D30" i="18"/>
  <c r="E30" i="18"/>
  <c r="F30" i="18"/>
  <c r="C29" i="18"/>
  <c r="D29" i="18"/>
  <c r="E29" i="18"/>
  <c r="F29" i="18"/>
  <c r="C28" i="18"/>
  <c r="D28" i="18"/>
  <c r="E28" i="18"/>
  <c r="F2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8" i="18"/>
  <c r="F7" i="18"/>
  <c r="F6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8" i="18"/>
  <c r="E7" i="18"/>
  <c r="E6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8" i="18"/>
  <c r="D7" i="18"/>
  <c r="D6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14" i="18"/>
  <c r="C13" i="18"/>
  <c r="C9" i="18"/>
  <c r="C10" i="18"/>
  <c r="C11" i="18"/>
  <c r="C12" i="18"/>
  <c r="C8" i="18"/>
  <c r="C7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7" i="18"/>
  <c r="B6" i="18"/>
  <c r="B8" i="18"/>
  <c r="C5" i="15"/>
  <c r="H41" i="15" s="1"/>
  <c r="H41" i="1"/>
  <c r="J2" i="1"/>
  <c r="B30" i="18" l="1"/>
  <c r="B28" i="18"/>
  <c r="B29" i="18"/>
</calcChain>
</file>

<file path=xl/sharedStrings.xml><?xml version="1.0" encoding="utf-8"?>
<sst xmlns="http://schemas.openxmlformats.org/spreadsheetml/2006/main" count="404" uniqueCount="180">
  <si>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</si>
  <si>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</si>
  <si>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</si>
  <si>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</si>
  <si>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</si>
  <si>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</si>
  <si>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</si>
  <si>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</si>
  <si>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</si>
  <si>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</si>
  <si>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</si>
  <si>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</si>
  <si>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</si>
  <si>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</si>
  <si>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</si>
  <si>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</si>
  <si>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</si>
  <si>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</si>
  <si>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</si>
  <si>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</si>
  <si>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</si>
  <si>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</si>
  <si>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</si>
  <si>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</si>
  <si>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</si>
  <si>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</si>
  <si>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</si>
  <si>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</si>
  <si>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</si>
  <si>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</si>
  <si>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</si>
  <si>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</si>
  <si>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</si>
  <si>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</si>
  <si>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</si>
  <si>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</si>
  <si>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</si>
  <si>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</si>
  <si>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</si>
  <si>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</si>
  <si>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</si>
  <si>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</si>
  <si>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</si>
  <si>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</si>
  <si>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</si>
  <si>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</si>
  <si>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</si>
  <si>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</si>
  <si>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</si>
  <si>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</si>
  <si>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</si>
  <si>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</si>
  <si>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</si>
  <si>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</si>
  <si>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</si>
  <si>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</si>
  <si>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</si>
  <si>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</si>
  <si>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</si>
  <si>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</si>
  <si>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</si>
  <si>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</si>
  <si>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</si>
  <si>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</si>
  <si>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</si>
  <si>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</si>
  <si>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</si>
  <si>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</si>
  <si>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</si>
  <si>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</si>
  <si>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</si>
  <si>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</si>
  <si>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</si>
  <si>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</si>
  <si>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</si>
  <si>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</si>
  <si>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</si>
  <si>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</si>
  <si>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</si>
  <si>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</si>
  <si>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</si>
  <si>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</si>
  <si>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</si>
  <si>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</si>
  <si>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</si>
  <si>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</si>
  <si>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</si>
  <si>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</si>
  <si>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</si>
  <si>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</si>
  <si>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</si>
  <si>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</si>
  <si>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</si>
  <si>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</si>
  <si>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</si>
  <si>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</si>
  <si>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</si>
  <si>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</si>
  <si>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</si>
  <si>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</si>
  <si>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</si>
  <si>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</si>
  <si>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</si>
  <si>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</si>
  <si>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</si>
  <si>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</si>
  <si>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</si>
  <si>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</si>
  <si>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</si>
  <si>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</si>
  <si>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</si>
  <si>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</si>
  <si>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</si>
  <si>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</si>
  <si>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</si>
  <si>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</si>
  <si>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</si>
  <si>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</si>
  <si>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</si>
  <si>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</si>
  <si>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</si>
  <si>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</si>
  <si>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</si>
  <si>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</si>
  <si>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</si>
  <si>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</si>
  <si>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</si>
  <si>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</si>
  <si>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</si>
  <si>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</si>
  <si>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</si>
  <si>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</si>
  <si>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</si>
  <si>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</si>
  <si>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</si>
  <si>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</si>
  <si>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</si>
  <si>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</si>
  <si>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</si>
  <si>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</si>
  <si>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</si>
  <si>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</si>
  <si>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</si>
  <si>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</si>
  <si>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</si>
  <si>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</si>
  <si>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</si>
  <si>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</si>
  <si>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</si>
  <si>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</si>
  <si>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</si>
  <si>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</si>
  <si>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</si>
  <si>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</si>
  <si>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</si>
  <si>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</si>
  <si>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</si>
  <si>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</si>
  <si>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</si>
  <si>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</si>
  <si>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</si>
  <si>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</si>
  <si>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</si>
  <si>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</si>
  <si>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</si>
  <si>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</si>
  <si>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</si>
  <si>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</si>
  <si>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</si>
  <si>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</si>
  <si>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</si>
  <si>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</si>
  <si>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</si>
  <si>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</si>
  <si>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</si>
  <si>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</si>
  <si>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</si>
  <si>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"=IFERROR(value,value_if_error)"</t>
  </si>
  <si>
    <t>1.Value (required argument) – This is the expression or value that needs to be tested. It is generally provided as a cell address</t>
  </si>
  <si>
    <t>2.Value_if_error (required argument) – The value that will be returned if the formula evaluates to an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</si>
</sst>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7" fillId="6" borderId="0" xfId="0" applyFont="1" applyFill="1"/>
    <xf numFmtId="0" fontId="3" fillId="7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3" fillId="0" borderId="7" xfId="0" applyNumberFormat="1" applyFont="1" applyBorder="1" applyAlignment="1"/>
    <xf numFmtId="0" fontId="3" fillId="0" borderId="7" xfId="0" applyNumberFormat="1" applyFont="1" applyBorder="1" applyAlignment="1">
      <alignment horizontal="right"/>
    </xf>
    <xf numFmtId="0" fontId="8" fillId="0" borderId="0" xfId="0" applyFont="1" applyAlignment="1">
      <alignment horizontal="right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pane="bottomLeft" activeCell="A12" sqref="A12:XFD1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8" width="12.83203125" style="47" bestFit="1" customWidth="1"/>
    <col min="9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9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46" t="s">
        <v>79</v>
      </c>
      <c r="H1" s="46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8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47">
        <v>2.7</v>
      </c>
      <c r="H2" s="47">
        <v>3.6</v>
      </c>
      <c r="I2" s="1">
        <v>4.2</v>
      </c>
      <c r="J2" s="1">
        <f>K4</f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47">
        <v>2.7</v>
      </c>
      <c r="H3" s="47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47">
        <v>3.6</v>
      </c>
      <c r="H4" s="47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47">
        <v>4.9000000000000004</v>
      </c>
      <c r="H5" s="47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47">
        <v>6.6</v>
      </c>
      <c r="H6" s="47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47">
        <v>7.1</v>
      </c>
      <c r="H7" s="47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47">
        <v>9.4</v>
      </c>
      <c r="H8" s="47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47">
        <v>11.6</v>
      </c>
      <c r="H9" s="47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47">
        <v>16.100000000000001</v>
      </c>
      <c r="H10" s="47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47">
        <v>18.399999999999999</v>
      </c>
      <c r="H11" s="47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7">
        <v>0</v>
      </c>
      <c r="H12" s="47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9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47">
        <v>21.9</v>
      </c>
      <c r="H13" s="47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47">
        <v>23.5</v>
      </c>
      <c r="H14" s="47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47">
        <v>26.8</v>
      </c>
      <c r="H15" s="47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47">
        <v>28</v>
      </c>
      <c r="H16" s="47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47">
        <v>28.5</v>
      </c>
      <c r="H17" s="47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47">
        <v>29.1</v>
      </c>
      <c r="H18" s="47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47">
        <v>30.7</v>
      </c>
      <c r="H19" s="47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47">
        <v>33.799999999999997</v>
      </c>
      <c r="H20" s="47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47">
        <v>34.700000000000003</v>
      </c>
      <c r="H21" s="47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47">
        <v>36.5</v>
      </c>
      <c r="H22" s="47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47">
        <v>38</v>
      </c>
      <c r="H23" s="47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47">
        <v>38.700000000000003</v>
      </c>
      <c r="H24" s="47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47">
        <v>40.1</v>
      </c>
      <c r="H25" s="47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7">
        <v>0</v>
      </c>
      <c r="H26" s="47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9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47">
        <v>41.3</v>
      </c>
      <c r="H27" s="47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47">
        <v>42.3</v>
      </c>
      <c r="H28" s="47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47">
        <v>43.3</v>
      </c>
      <c r="H29" s="47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7">
        <v>-1</v>
      </c>
      <c r="H30" s="47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9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47">
        <v>45</v>
      </c>
      <c r="H31" s="47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7">
        <v>-1</v>
      </c>
      <c r="H32" s="47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9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47">
        <v>41.5</v>
      </c>
      <c r="H33" s="47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47">
        <v>43.3</v>
      </c>
      <c r="H34" s="47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47">
        <v>44.5</v>
      </c>
      <c r="H35" s="47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47">
        <v>47.3</v>
      </c>
      <c r="H36" s="47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47">
        <v>48.3</v>
      </c>
      <c r="H37" s="47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47">
        <v>49.1</v>
      </c>
      <c r="H38" s="47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47">
        <v>50.6</v>
      </c>
      <c r="H39" s="47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47">
        <v>51.8</v>
      </c>
      <c r="H40" s="47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  <row r="41" spans="1:24" x14ac:dyDescent="0.25">
      <c r="H41" s="47">
        <f>SUMIF(H2:H40,"&gt;20")</f>
        <v>1473.0000000000002</v>
      </c>
    </row>
  </sheetData>
  <conditionalFormatting sqref="A1:A1048576">
    <cfRule type="duplicateValues" dxfId="12" priority="13"/>
  </conditionalFormatting>
  <conditionalFormatting sqref="B1:B1048576">
    <cfRule type="duplicateValues" dxfId="11" priority="12"/>
  </conditionalFormatting>
  <conditionalFormatting sqref="G1:G1048576">
    <cfRule type="cellIs" dxfId="10" priority="9" operator="lessThan">
      <formula>0</formula>
    </cfRule>
    <cfRule type="cellIs" dxfId="9" priority="10" operator="between">
      <formula>-1</formula>
      <formula>1</formula>
    </cfRule>
    <cfRule type="cellIs" dxfId="8" priority="11" operator="lessThan">
      <formula>0</formula>
    </cfRule>
  </conditionalFormatting>
  <conditionalFormatting sqref="H1:H1048576">
    <cfRule type="cellIs" dxfId="7" priority="7" operator="between">
      <formula>0</formula>
      <formula>1</formula>
    </cfRule>
    <cfRule type="cellIs" dxfId="6" priority="8" operator="lessThan">
      <formula>0</formula>
    </cfRule>
  </conditionalFormatting>
  <conditionalFormatting sqref="I7:I40">
    <cfRule type="cellIs" dxfId="5" priority="5" operator="between">
      <formula>0</formula>
      <formula>1</formula>
    </cfRule>
    <cfRule type="cellIs" dxfId="4" priority="6" operator="lessThan">
      <formula>0</formula>
    </cfRule>
  </conditionalFormatting>
  <conditionalFormatting sqref="J2:J40">
    <cfRule type="cellIs" dxfId="3" priority="3" operator="between">
      <formula>0</formula>
      <formula>1</formula>
    </cfRule>
    <cfRule type="cellIs" dxfId="2" priority="4" operator="lessThan">
      <formula>0</formula>
    </cfRule>
  </conditionalFormatting>
  <conditionalFormatting sqref="K1:W40">
    <cfRule type="cellIs" dxfId="1" priority="1" operator="between">
      <formula>0</formula>
      <formula>1</formula>
    </cfRule>
    <cfRule type="cellIs" dxfId="0" priority="2" operator="lessThan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E6" sqref="E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SUMIF(H2:H40,"&gt;20")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  <row r="41" spans="8:8" x14ac:dyDescent="0.25">
      <c r="H41" s="1" t="b">
        <f>Task_1!C5=SUMIF(H2:H40,"&gt;20")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9" zoomScaleNormal="100" workbookViewId="0">
      <selection activeCell="F30" sqref="F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VLOOKUP(A6,Dataset!A2:X40,7,FALSE)</f>
        <v>2.7</v>
      </c>
      <c r="C6" s="51">
        <f>VLOOKUP(A6,Dataset!A2:X40,14,FALSE)</f>
        <v>7.6</v>
      </c>
      <c r="D6" s="12">
        <f>VLOOKUP(A6,Dataset!A2:X40,17,FALSE)</f>
        <v>3.6</v>
      </c>
      <c r="E6" s="12">
        <f>VLOOKUP(A6,Dataset!A2:X40,20,FALSE)</f>
        <v>8.9</v>
      </c>
      <c r="F6" s="8">
        <f>VLOOKUP(A6,Dataset!A2:X40,22,FALSE)</f>
        <v>4.2</v>
      </c>
    </row>
    <row r="7" spans="1:7" ht="15" x14ac:dyDescent="0.25">
      <c r="A7" s="7" t="s">
        <v>4</v>
      </c>
      <c r="B7" s="12">
        <f>VLOOKUP(A7,Dataset!A3:X41,7,FALSE)</f>
        <v>2.7</v>
      </c>
      <c r="C7" s="51">
        <f>VLOOKUP(A7,Dataset!A3:X41,14,FALSE)</f>
        <v>7.6</v>
      </c>
      <c r="D7" s="12">
        <f>VLOOKUP(A7,Dataset!A3:X41,17,FALSE)</f>
        <v>3.6</v>
      </c>
      <c r="E7" s="12">
        <f>VLOOKUP(A7,Dataset!A3:X41,20,FALSE)</f>
        <v>8.9</v>
      </c>
      <c r="F7" s="8">
        <f>VLOOKUP(A7,Dataset!A3:X41,22,FALSE)</f>
        <v>4.2</v>
      </c>
    </row>
    <row r="8" spans="1:7" ht="15" x14ac:dyDescent="0.25">
      <c r="A8" s="7" t="s">
        <v>7</v>
      </c>
      <c r="B8" s="12">
        <f>VLOOKUP(A8,Dataset!1:1048576,7,FALSE)</f>
        <v>3.6</v>
      </c>
      <c r="C8" s="51">
        <f>VLOOKUP(A8,Dataset!A4:X42,14,FALSE)</f>
        <v>11.1</v>
      </c>
      <c r="D8" s="12">
        <f>VLOOKUP(A8,Dataset!A4:X42,17,FALSE)</f>
        <v>5.4</v>
      </c>
      <c r="E8" s="12">
        <f>VLOOKUP(A8,Dataset!A4:X42,20,FALSE)</f>
        <v>12.2</v>
      </c>
      <c r="F8" s="8">
        <f>VLOOKUP(A8,Dataset!A4:X42,22,FALSE)</f>
        <v>5.8</v>
      </c>
    </row>
    <row r="9" spans="1:7" ht="15" x14ac:dyDescent="0.25">
      <c r="A9" s="7" t="s">
        <v>8</v>
      </c>
      <c r="B9" s="12">
        <f>VLOOKUP(A9,Dataset!A2:X40,7,FALSE)</f>
        <v>4.9000000000000004</v>
      </c>
      <c r="C9" s="51">
        <f>VLOOKUP(A9,Dataset!A5:X43,14,FALSE)</f>
        <v>13.3</v>
      </c>
      <c r="D9" s="12">
        <f>VLOOKUP(A9,Dataset!A5:X43,17,FALSE)</f>
        <v>6.6</v>
      </c>
      <c r="E9" s="12">
        <f>VLOOKUP(A9,Dataset!A5:X43,20,FALSE)</f>
        <v>17</v>
      </c>
      <c r="F9" s="8">
        <f>VLOOKUP(A9,Dataset!A5:X43,22,FALSE)</f>
        <v>8.1</v>
      </c>
    </row>
    <row r="10" spans="1:7" ht="15" x14ac:dyDescent="0.25">
      <c r="A10" s="7" t="s">
        <v>11</v>
      </c>
      <c r="B10" s="12">
        <f>VLOOKUP(A10,Dataset!A3:X41,7,FALSE)</f>
        <v>9.4</v>
      </c>
      <c r="C10" s="51">
        <f>VLOOKUP(A10,Dataset!A6:X44,14,FALSE)</f>
        <v>28.3</v>
      </c>
      <c r="D10" s="12">
        <f>VLOOKUP(A10,Dataset!A6:X44,17,FALSE)</f>
        <v>13.8</v>
      </c>
      <c r="E10" s="12">
        <f>VLOOKUP(A10,Dataset!A6:X44,20,FALSE)</f>
        <v>32.799999999999997</v>
      </c>
      <c r="F10" s="8">
        <f>VLOOKUP(A10,Dataset!A6:X44,22,FALSE)</f>
        <v>16.100000000000001</v>
      </c>
    </row>
    <row r="11" spans="1:7" ht="15" x14ac:dyDescent="0.25">
      <c r="A11" s="7" t="s">
        <v>12</v>
      </c>
      <c r="B11" s="12">
        <f>VLOOKUP(A11,Dataset!A4:X42,7,FALSE)</f>
        <v>11.6</v>
      </c>
      <c r="C11" s="51">
        <f>VLOOKUP(A11,Dataset!A7:X45,14,FALSE)</f>
        <v>35.200000000000003</v>
      </c>
      <c r="D11" s="12">
        <f>VLOOKUP(A11,Dataset!A7:X45,17,FALSE)</f>
        <v>17.3</v>
      </c>
      <c r="E11" s="12">
        <f>VLOOKUP(A11,Dataset!A7:X45,20,FALSE)</f>
        <v>43</v>
      </c>
      <c r="F11" s="8">
        <f>VLOOKUP(A11,Dataset!A7:X45,22,FALSE)</f>
        <v>21.3</v>
      </c>
    </row>
    <row r="12" spans="1:7" ht="15" x14ac:dyDescent="0.25">
      <c r="A12" s="7" t="s">
        <v>14</v>
      </c>
      <c r="B12" s="12">
        <f>VLOOKUP(A12,Dataset!A5:X43,7,FALSE)</f>
        <v>18.399999999999999</v>
      </c>
      <c r="C12" s="51">
        <f>VLOOKUP(A12,Dataset!A8:X46,14,FALSE)</f>
        <v>55.6</v>
      </c>
      <c r="D12" s="12">
        <f>VLOOKUP(A12,Dataset!A8:X46,17,FALSE)</f>
        <v>27.5</v>
      </c>
      <c r="E12" s="12">
        <f>VLOOKUP(A12,Dataset!A8:X46,20,FALSE)</f>
        <v>67.900000000000006</v>
      </c>
      <c r="F12" s="8">
        <f>VLOOKUP(A12,Dataset!A8:X46,22,FALSE)</f>
        <v>33.799999999999997</v>
      </c>
    </row>
    <row r="13" spans="1:7" ht="15" x14ac:dyDescent="0.25">
      <c r="A13" s="7" t="s">
        <v>15</v>
      </c>
      <c r="B13" s="12">
        <f>VLOOKUP(A13,Dataset!A6:X44,7,FALSE)</f>
        <v>0</v>
      </c>
      <c r="C13" s="51">
        <f>VLOOKUP(A13,Dataset!A9:X47,14,FALSE)</f>
        <v>0</v>
      </c>
      <c r="D13" s="12">
        <f>VLOOKUP(A13,Dataset!A9:X47,17,FALSE)</f>
        <v>0</v>
      </c>
      <c r="E13" s="12">
        <f>VLOOKUP(A13,Dataset!A9:X47,20,FALSE)</f>
        <v>0</v>
      </c>
      <c r="F13" s="8">
        <f>VLOOKUP(A13,Dataset!A9:X47,22,FALSE)</f>
        <v>0</v>
      </c>
    </row>
    <row r="14" spans="1:7" ht="15" x14ac:dyDescent="0.25">
      <c r="A14" s="7" t="s">
        <v>16</v>
      </c>
      <c r="B14" s="12">
        <f>VLOOKUP(A14,Dataset!A7:X45,7,FALSE)</f>
        <v>21.9</v>
      </c>
      <c r="C14" s="51">
        <f>VLOOKUP(A14,Dataset!A10:X48,14,FALSE)</f>
        <v>61.5</v>
      </c>
      <c r="D14" s="12">
        <f>VLOOKUP(A14,Dataset!A10:X48,17,FALSE)</f>
        <v>32.1</v>
      </c>
      <c r="E14" s="12">
        <f>VLOOKUP(A14,Dataset!A10:X48,20,FALSE)</f>
        <v>76.599999999999994</v>
      </c>
      <c r="F14" s="8">
        <f>VLOOKUP(A14,Dataset!A10:X48,22,FALSE)</f>
        <v>40.1</v>
      </c>
    </row>
    <row r="15" spans="1:7" ht="15" x14ac:dyDescent="0.25">
      <c r="A15" s="7" t="s">
        <v>18</v>
      </c>
      <c r="B15" s="12">
        <f>VLOOKUP(A15,Dataset!A8:X46,7,FALSE)</f>
        <v>26.8</v>
      </c>
      <c r="C15" s="51">
        <f>VLOOKUP(A15,Dataset!A11:X49,14,FALSE)</f>
        <v>79.599999999999994</v>
      </c>
      <c r="D15" s="12">
        <f>VLOOKUP(A15,Dataset!A11:X49,17,FALSE)</f>
        <v>39.299999999999997</v>
      </c>
      <c r="E15" s="12">
        <f>VLOOKUP(A15,Dataset!A11:X49,20,FALSE)</f>
        <v>96.8</v>
      </c>
      <c r="F15" s="8">
        <f>VLOOKUP(A15,Dataset!A11:X49,22,FALSE)</f>
        <v>47.9</v>
      </c>
    </row>
    <row r="16" spans="1:7" ht="15" x14ac:dyDescent="0.25">
      <c r="A16" s="7" t="s">
        <v>20</v>
      </c>
      <c r="B16" s="12">
        <f>VLOOKUP(A16,Dataset!A9:X47,7,FALSE)</f>
        <v>28.5</v>
      </c>
      <c r="C16" s="51">
        <f>VLOOKUP(A16,Dataset!A12:X50,14,FALSE)</f>
        <v>85.4</v>
      </c>
      <c r="D16" s="12">
        <f>VLOOKUP(A16,Dataset!A12:X50,17,FALSE)</f>
        <v>42.3</v>
      </c>
      <c r="E16" s="12">
        <f>VLOOKUP(A16,Dataset!A12:X50,20,FALSE)</f>
        <v>106.1</v>
      </c>
      <c r="F16" s="8">
        <f>VLOOKUP(A16,Dataset!A12:X50,22,FALSE)</f>
        <v>52.3</v>
      </c>
    </row>
    <row r="17" spans="1:6" ht="15" x14ac:dyDescent="0.25">
      <c r="A17" s="7" t="s">
        <v>22</v>
      </c>
      <c r="B17" s="12">
        <f>VLOOKUP(A17,Dataset!A10:X48,7,FALSE)</f>
        <v>30.7</v>
      </c>
      <c r="C17" s="51">
        <f>VLOOKUP(A17,Dataset!A13:X51,14,FALSE)</f>
        <v>92.1</v>
      </c>
      <c r="D17" s="12">
        <f>VLOOKUP(A17,Dataset!A13:X51,17,FALSE)</f>
        <v>45.5</v>
      </c>
      <c r="E17" s="12">
        <f>VLOOKUP(A17,Dataset!A13:X51,20,FALSE)</f>
        <v>115.1</v>
      </c>
      <c r="F17" s="8">
        <f>VLOOKUP(A17,Dataset!A13:X51,22,FALSE)</f>
        <v>57</v>
      </c>
    </row>
    <row r="18" spans="1:6" ht="15" x14ac:dyDescent="0.25">
      <c r="A18" s="7" t="s">
        <v>23</v>
      </c>
      <c r="B18" s="12">
        <f>VLOOKUP(A18,Dataset!A11:X49,7,FALSE)</f>
        <v>33.799999999999997</v>
      </c>
      <c r="C18" s="51">
        <f>VLOOKUP(A18,Dataset!A14:X52,14,FALSE)</f>
        <v>101.3</v>
      </c>
      <c r="D18" s="12">
        <f>VLOOKUP(A18,Dataset!A14:X52,17,FALSE)</f>
        <v>50.1</v>
      </c>
      <c r="E18" s="12">
        <f>VLOOKUP(A18,Dataset!A14:X52,20,FALSE)</f>
        <v>124.4</v>
      </c>
      <c r="F18" s="8">
        <f>VLOOKUP(A18,Dataset!A14:X52,22,FALSE)</f>
        <v>61.4</v>
      </c>
    </row>
    <row r="19" spans="1:6" ht="15" x14ac:dyDescent="0.25">
      <c r="A19" s="7" t="s">
        <v>24</v>
      </c>
      <c r="B19" s="12">
        <f>VLOOKUP(A19,Dataset!A12:X50,7,FALSE)</f>
        <v>34.700000000000003</v>
      </c>
      <c r="C19" s="51">
        <f>VLOOKUP(A19,Dataset!A15:X53,14,FALSE)</f>
        <v>106.1</v>
      </c>
      <c r="D19" s="12">
        <f>VLOOKUP(A19,Dataset!A15:X53,17,FALSE)</f>
        <v>52.3</v>
      </c>
      <c r="E19" s="12">
        <f>VLOOKUP(A19,Dataset!A15:X53,20,FALSE)</f>
        <v>128.6</v>
      </c>
      <c r="F19" s="8">
        <f>VLOOKUP(A19,Dataset!A15:X53,22,FALSE)</f>
        <v>63.6</v>
      </c>
    </row>
    <row r="20" spans="1:6" ht="15" x14ac:dyDescent="0.25">
      <c r="A20" s="7" t="s">
        <v>28</v>
      </c>
      <c r="B20" s="12">
        <f>VLOOKUP(A20,Dataset!A13:X51,7,FALSE)</f>
        <v>0</v>
      </c>
      <c r="C20" s="51">
        <f>VLOOKUP(A20,Dataset!A16:X54,14,FALSE)</f>
        <v>0</v>
      </c>
      <c r="D20" s="12">
        <f>VLOOKUP(A20,Dataset!A16:X54,17,FALSE)</f>
        <v>0</v>
      </c>
      <c r="E20" s="12">
        <f>VLOOKUP(A20,Dataset!A16:X54,20,FALSE)</f>
        <v>0</v>
      </c>
      <c r="F20" s="8">
        <f>VLOOKUP(A20,Dataset!A16:X54,22,FALSE)</f>
        <v>0</v>
      </c>
    </row>
    <row r="21" spans="1:6" ht="15" x14ac:dyDescent="0.25">
      <c r="A21" s="7" t="s">
        <v>57</v>
      </c>
      <c r="B21" s="12">
        <f>VLOOKUP(A21,Dataset!A14:X52,7,FALSE)</f>
        <v>41.3</v>
      </c>
      <c r="C21" s="51">
        <f>VLOOKUP(A21,Dataset!A17:X55,14,FALSE)</f>
        <v>124.4</v>
      </c>
      <c r="D21" s="12">
        <f>VLOOKUP(A21,Dataset!A17:X55,17,FALSE)</f>
        <v>61.4</v>
      </c>
      <c r="E21" s="12">
        <f>VLOOKUP(A21,Dataset!A17:X55,20,FALSE)</f>
        <v>151.5</v>
      </c>
      <c r="F21" s="8">
        <f>VLOOKUP(A21,Dataset!A17:X55,22,FALSE)</f>
        <v>75</v>
      </c>
    </row>
    <row r="22" spans="1:6" ht="15" x14ac:dyDescent="0.25">
      <c r="A22" s="7" t="s">
        <v>58</v>
      </c>
      <c r="B22" s="12">
        <f>VLOOKUP(A22,Dataset!A15:X53,7,FALSE)</f>
        <v>-1</v>
      </c>
      <c r="C22" s="51">
        <f>VLOOKUP(A22,Dataset!A18:X56,14,FALSE)</f>
        <v>-1</v>
      </c>
      <c r="D22" s="12">
        <f>VLOOKUP(A22,Dataset!A18:X56,17,FALSE)</f>
        <v>-1</v>
      </c>
      <c r="E22" s="12">
        <f>VLOOKUP(A22,Dataset!A18:X56,20,FALSE)</f>
        <v>-1</v>
      </c>
      <c r="F22" s="8">
        <f>VLOOKUP(A22,Dataset!A18:X56,22,FALSE)</f>
        <v>-1</v>
      </c>
    </row>
    <row r="23" spans="1:6" ht="15" x14ac:dyDescent="0.25">
      <c r="A23" s="7" t="s">
        <v>31</v>
      </c>
      <c r="B23" s="12">
        <f>VLOOKUP(A23,Dataset!A16:X54,7,FALSE)</f>
        <v>45</v>
      </c>
      <c r="C23" s="51">
        <f>VLOOKUP(A23,Dataset!A19:X57,14,FALSE)</f>
        <v>133.4</v>
      </c>
      <c r="D23" s="12">
        <f>VLOOKUP(A23,Dataset!A19:X57,17,FALSE)</f>
        <v>65.900000000000006</v>
      </c>
      <c r="E23" s="12">
        <f>VLOOKUP(A23,Dataset!A19:X57,20,FALSE)</f>
        <v>160.9</v>
      </c>
      <c r="F23" s="8">
        <f>VLOOKUP(A23,Dataset!A19:X57,22,FALSE)</f>
        <v>79.400000000000006</v>
      </c>
    </row>
    <row r="24" spans="1:6" ht="15" x14ac:dyDescent="0.25">
      <c r="A24" s="7" t="s">
        <v>32</v>
      </c>
      <c r="B24" s="12">
        <f>VLOOKUP(A24,Dataset!A17:X55,7,FALSE)</f>
        <v>-1</v>
      </c>
      <c r="C24" s="50">
        <f>VLOOKUP(A24,Dataset!A20:X58,14,FALSE)</f>
        <v>-1</v>
      </c>
      <c r="D24" s="12">
        <f>VLOOKUP(A24,Dataset!A20:X58,17,FALSE)</f>
        <v>-1</v>
      </c>
      <c r="E24" s="12">
        <f>VLOOKUP(A24,Dataset!A20:X58,20,FALSE)</f>
        <v>-1</v>
      </c>
      <c r="F24" s="8">
        <f>VLOOKUP(A24,Dataset!A20:X58,22,FALSE)</f>
        <v>-1</v>
      </c>
    </row>
    <row r="25" spans="1:6" ht="15" x14ac:dyDescent="0.25">
      <c r="A25" s="7" t="s">
        <v>34</v>
      </c>
      <c r="B25" s="12">
        <f>VLOOKUP(A25,Dataset!A18:X56,7,FALSE)</f>
        <v>43.3</v>
      </c>
      <c r="C25" s="51">
        <f>VLOOKUP(A25,Dataset!A21:X59,14,FALSE)</f>
        <v>128.6</v>
      </c>
      <c r="D25" s="12">
        <f>VLOOKUP(A25,Dataset!A21:X59,17,FALSE)</f>
        <v>63.6</v>
      </c>
      <c r="E25" s="12">
        <f>VLOOKUP(A25,Dataset!A21:X59,20,FALSE)</f>
        <v>160.9</v>
      </c>
      <c r="F25" s="8">
        <f>VLOOKUP(A25,Dataset!A21:X59,22,FALSE)</f>
        <v>79.400000000000006</v>
      </c>
    </row>
    <row r="26" spans="1:6" ht="15" x14ac:dyDescent="0.25">
      <c r="A26" s="7" t="s">
        <v>37</v>
      </c>
      <c r="B26" s="12">
        <f>VLOOKUP(A26,Dataset!A19:X57,7,FALSE)</f>
        <v>49.1</v>
      </c>
      <c r="C26" s="51">
        <f>VLOOKUP(A26,Dataset!A22:X60,14,FALSE)</f>
        <v>146.80000000000001</v>
      </c>
      <c r="D26" s="12">
        <f>VLOOKUP(A26,Dataset!A22:X60,17,FALSE)</f>
        <v>72.8</v>
      </c>
      <c r="E26" s="12">
        <f>VLOOKUP(A26,Dataset!A22:X60,20,FALSE)</f>
        <v>183.5</v>
      </c>
      <c r="F26" s="8">
        <f>VLOOKUP(A26,Dataset!A22:X60,22,FALSE)</f>
        <v>90.9</v>
      </c>
    </row>
    <row r="27" spans="1:6" ht="15" x14ac:dyDescent="0.25">
      <c r="A27" s="7" t="s">
        <v>39</v>
      </c>
      <c r="B27" s="12">
        <f>VLOOKUP(A27,Dataset!A20:X58,7,FALSE)</f>
        <v>51.8</v>
      </c>
      <c r="C27" s="51">
        <f>VLOOKUP(A27,Dataset!A23:X61,14,FALSE)</f>
        <v>156.4</v>
      </c>
      <c r="D27" s="12">
        <f>VLOOKUP(A27,Dataset!A23:X61,17,FALSE)</f>
        <v>77.2</v>
      </c>
      <c r="E27" s="12">
        <f>VLOOKUP(A27,Dataset!A23:X61,20,FALSE)</f>
        <v>188.1</v>
      </c>
      <c r="F27" s="8">
        <f>VLOOKUP(A27,Dataset!A23:X61,22,FALSE)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77.2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30.831818181818186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6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abSelected="1" zoomScaleNormal="100" workbookViewId="0">
      <selection activeCell="K8" sqref="K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2" t="s">
        <v>85</v>
      </c>
      <c r="B1" s="41" t="s">
        <v>167</v>
      </c>
    </row>
    <row r="2" spans="1:4" ht="18.75" x14ac:dyDescent="0.3">
      <c r="B2" s="40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 t="s">
        <v>177</v>
      </c>
    </row>
    <row r="7" spans="1:4" ht="15" x14ac:dyDescent="0.25">
      <c r="A7" s="3" t="s">
        <v>153</v>
      </c>
      <c r="B7" s="1" t="s">
        <v>178</v>
      </c>
    </row>
    <row r="8" spans="1:4" x14ac:dyDescent="0.2">
      <c r="B8" s="2" t="s">
        <v>179</v>
      </c>
    </row>
    <row r="10" spans="1:4" ht="23.25" x14ac:dyDescent="0.35">
      <c r="A10" s="18" t="s">
        <v>162</v>
      </c>
    </row>
    <row r="11" spans="1:4" ht="15" x14ac:dyDescent="0.25">
      <c r="A11" s="32" t="s">
        <v>86</v>
      </c>
      <c r="B11" s="17" t="s">
        <v>87</v>
      </c>
      <c r="C11" s="17" t="s">
        <v>88</v>
      </c>
      <c r="D11" s="2" t="s">
        <v>88</v>
      </c>
    </row>
    <row r="12" spans="1:4" ht="15" x14ac:dyDescent="0.25">
      <c r="A12" s="32">
        <v>44927</v>
      </c>
      <c r="B12" s="17" t="s">
        <v>59</v>
      </c>
      <c r="C12" s="17">
        <v>200</v>
      </c>
      <c r="D12" s="52">
        <f>VLOOKUP(B12,B12:C21,2,FALSE)</f>
        <v>200</v>
      </c>
    </row>
    <row r="13" spans="1:4" ht="15" x14ac:dyDescent="0.25">
      <c r="A13" s="32">
        <v>44928</v>
      </c>
      <c r="B13" s="17" t="s">
        <v>60</v>
      </c>
      <c r="C13" s="17" t="e">
        <v>#N/A</v>
      </c>
      <c r="D13" s="52" t="str">
        <f t="shared" ref="D13:D21" si="0">IFERROR(VLOOKUP(B13,B13:C22,2,FALSE),"20")</f>
        <v>20</v>
      </c>
    </row>
    <row r="14" spans="1:4" ht="15" x14ac:dyDescent="0.25">
      <c r="A14" s="32">
        <v>44929</v>
      </c>
      <c r="B14" s="17" t="s">
        <v>61</v>
      </c>
      <c r="C14" s="17">
        <v>50</v>
      </c>
      <c r="D14" s="52">
        <f t="shared" si="0"/>
        <v>50</v>
      </c>
    </row>
    <row r="15" spans="1:4" ht="15" x14ac:dyDescent="0.25">
      <c r="A15" s="32">
        <v>44930</v>
      </c>
      <c r="B15" s="17" t="s">
        <v>62</v>
      </c>
      <c r="C15" s="17" t="e">
        <v>#N/A</v>
      </c>
      <c r="D15" s="52" t="str">
        <f t="shared" si="0"/>
        <v>20</v>
      </c>
    </row>
    <row r="16" spans="1:4" ht="15" x14ac:dyDescent="0.25">
      <c r="A16" s="32">
        <v>44931</v>
      </c>
      <c r="B16" s="17" t="s">
        <v>63</v>
      </c>
      <c r="C16" s="17">
        <v>10</v>
      </c>
      <c r="D16" s="52">
        <f t="shared" si="0"/>
        <v>10</v>
      </c>
    </row>
    <row r="17" spans="1:4" ht="15" x14ac:dyDescent="0.25">
      <c r="A17" s="32">
        <v>44932</v>
      </c>
      <c r="B17" s="17" t="s">
        <v>154</v>
      </c>
      <c r="C17" s="17">
        <v>150</v>
      </c>
      <c r="D17" s="52">
        <f t="shared" si="0"/>
        <v>150</v>
      </c>
    </row>
    <row r="18" spans="1:4" ht="15" x14ac:dyDescent="0.25">
      <c r="A18" s="32">
        <v>44933</v>
      </c>
      <c r="B18" s="17" t="s">
        <v>155</v>
      </c>
      <c r="C18" s="17">
        <v>80</v>
      </c>
      <c r="D18" s="52">
        <f t="shared" si="0"/>
        <v>80</v>
      </c>
    </row>
    <row r="19" spans="1:4" ht="15" x14ac:dyDescent="0.25">
      <c r="A19" s="32">
        <v>44934</v>
      </c>
      <c r="B19" s="17" t="s">
        <v>156</v>
      </c>
      <c r="C19" s="17" t="e">
        <v>#N/A</v>
      </c>
      <c r="D19" s="52" t="str">
        <f t="shared" si="0"/>
        <v>20</v>
      </c>
    </row>
    <row r="20" spans="1:4" ht="15" x14ac:dyDescent="0.25">
      <c r="A20" s="32">
        <v>44935</v>
      </c>
      <c r="B20" s="17" t="s">
        <v>157</v>
      </c>
      <c r="C20" s="17">
        <v>30</v>
      </c>
      <c r="D20" s="52">
        <f t="shared" si="0"/>
        <v>30</v>
      </c>
    </row>
    <row r="21" spans="1:4" ht="15" x14ac:dyDescent="0.25">
      <c r="A21" s="32">
        <v>44936</v>
      </c>
      <c r="B21" s="17" t="s">
        <v>158</v>
      </c>
      <c r="C21" s="17" t="e">
        <v>#N/A</v>
      </c>
      <c r="D21" s="52" t="str">
        <f t="shared" si="0"/>
        <v>20</v>
      </c>
    </row>
    <row r="22" spans="1:4" ht="15" x14ac:dyDescent="0.25">
      <c r="B22" s="17" t="s">
        <v>159</v>
      </c>
      <c r="C22" s="25"/>
      <c r="D22" s="2">
        <f xml:space="preserve"> SUM(D12:D21)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C5" sqref="C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 chaitanaya</cp:lastModifiedBy>
  <dcterms:created xsi:type="dcterms:W3CDTF">2015-02-10T17:33:11Z</dcterms:created>
  <dcterms:modified xsi:type="dcterms:W3CDTF">2023-12-10T13:48:45Z</dcterms:modified>
</cp:coreProperties>
</file>